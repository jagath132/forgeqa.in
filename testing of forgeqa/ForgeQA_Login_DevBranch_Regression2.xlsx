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NexTest.ai\testing of forgeqa\"/>
    </mc:Choice>
  </mc:AlternateContent>
  <xr:revisionPtr revIDLastSave="0" documentId="13_ncr:1_{DE905E44-78B2-48C5-B40D-944C06C822DB}" xr6:coauthVersionLast="47" xr6:coauthVersionMax="47" xr10:uidLastSave="{00000000-0000-0000-0000-000000000000}"/>
  <bookViews>
    <workbookView xWindow="-110" yWindow="-110" windowWidth="19420" windowHeight="10300" tabRatio="500" xr2:uid="{00000000-000D-0000-FFFF-FFFF00000000}"/>
  </bookViews>
  <sheets>
    <sheet name="Dev Branch Regression" sheetId="1" r:id="rId1"/>
    <sheet name="Summary" sheetId="2" r:id="rId2"/>
  </sheets>
  <definedNames>
    <definedName name="_xlnm._FilterDatabase" localSheetId="0" hidden="1">'Dev Branch Regression'!$A$1:$H$14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B9" i="2" l="1"/>
  <c r="B8" i="2"/>
  <c r="B7" i="2"/>
  <c r="B6" i="2"/>
  <c r="B5" i="2"/>
  <c r="B4" i="2"/>
</calcChain>
</file>

<file path=xl/sharedStrings.xml><?xml version="1.0" encoding="utf-8"?>
<sst xmlns="http://schemas.openxmlformats.org/spreadsheetml/2006/main" count="122" uniqueCount="92">
  <si>
    <t>Bug ID</t>
  </si>
  <si>
    <t>Title</t>
  </si>
  <si>
    <t>Severity</t>
  </si>
  <si>
    <t>Priority</t>
  </si>
  <si>
    <t>Retest Steps</t>
  </si>
  <si>
    <t>Retest Evidence (dev branch, 18-Jul-2026)</t>
  </si>
  <si>
    <t>Result</t>
  </si>
  <si>
    <t>Notes / Recommendation</t>
  </si>
  <si>
    <t>BUG-01</t>
  </si>
  <si>
    <t>Login API leaks disposable-email validation instead of generic auth error</t>
  </si>
  <si>
    <t>Critical</t>
  </si>
  <si>
    <t>P1</t>
  </si>
  <si>
    <t>Submitted test@example.com + valid-format password on /login</t>
  </si>
  <si>
    <t>API now returns generic {"error":"Invalid email or password."} instead of the disposable-email message. UI shows the same generic text.</t>
  </si>
  <si>
    <t>FIXED</t>
  </si>
  <si>
    <t>Verified. Ready for production.</t>
  </si>
  <si>
    <t>BUG-02</t>
  </si>
  <si>
    <t>User enumeration via Forgot Password flow</t>
  </si>
  <si>
    <t>Submitted an unregistered email on Forgot Password</t>
  </si>
  <si>
    <t>Message is now generic: 'If this email is registered, a password reset link has been sent. Please check your inbox...' — no longer confirms/denies account existence.</t>
  </si>
  <si>
    <t>BUG-03</t>
  </si>
  <si>
    <t>JWT not protected by HttpOnly cookie; fully exposed via sessionStorage</t>
  </si>
  <si>
    <t>Logged in, inspected sessionStorage/localStorage/cookies, then opened a brand-new browser tab (no sessionStorage carryover) and loaded /dashboard directly</t>
  </si>
  <si>
    <t>sessionStorage/localStorage no longer contain the JWT at all. The new tab still loaded a fully authenticated dashboard with real user data, proving auth is now carried by a real (JS-invisible) cookie rather than JS-accessible storage.</t>
  </si>
  <si>
    <t>Verified - and actually exceeds the AC's literal wording, since the JWT is no longer duplicated into sessionStorage at all (a stricter, more secure implementation than 'both HttpOnly cookie and sessionStorage'). Recommend confirming with the team that dropping the sessionStorage copy is intentional and doesn't break any client-side logic that expected to read the token directly.</t>
  </si>
  <si>
    <t>BUG-04</t>
  </si>
  <si>
    <t>Welcome onboarding flow does not trigger for first-time user</t>
  </si>
  <si>
    <t>High</t>
  </si>
  <si>
    <t>P2</t>
  </si>
  <si>
    <t>Logged in with the test account, inspected login response body, final URL, and DOM for a modal</t>
  </si>
  <si>
    <t>Login response still returns has_seen_welcome:false, but the app still redirects to plain /dashboard (no ?welcome=true) and no WelcomePopup modal appears anywhere in the DOM.</t>
  </si>
  <si>
    <t>NOT FIXED</t>
  </si>
  <si>
    <t>Unchanged from previous test. Frontend still isn't reading/acting on has_seen_welcome from the login response.</t>
  </si>
  <si>
    <t>BUG-05</t>
  </si>
  <si>
    <t>Account lockout has no visible countdown timer</t>
  </si>
  <si>
    <t>Triggered 5 failed attempts + 1 more, observed UI</t>
  </si>
  <si>
    <t>A live countdown now appears: 'Invalid email or password. Try again in 14:38' - and it visibly ticks down in real time (confirmed 14:38 -&gt; 14:18 over a few seconds).</t>
  </si>
  <si>
    <t>BUG-06</t>
  </si>
  <si>
    <t>No client-side email format validation; silent dead click on submit</t>
  </si>
  <si>
    <t>Entered 'notanemail' + '123' as password</t>
  </si>
  <si>
    <t>Inline validation now appears immediately: 'Invalid format' under email, and 'Min 8 chars, upper, lower, number &amp; special char required' under password. Submit button correctly stays disabled until both are valid.</t>
  </si>
  <si>
    <t>Verified. Ready for production. Note: this also adds password complexity validation beyond the original AC scope - a nice-to-have improvement.</t>
  </si>
  <si>
    <t>BUG-07</t>
  </si>
  <si>
    <t>Sign In button remains active/clickable during account lockout</t>
  </si>
  <si>
    <t>Medium</t>
  </si>
  <si>
    <t>P3</t>
  </si>
  <si>
    <t>Observed button state immediately after the 429 lockout response</t>
  </si>
  <si>
    <t>Sign In button is now correctly rendered with [disabled] during the lockout countdown.</t>
  </si>
  <si>
    <t>BUG-08</t>
  </si>
  <si>
    <t>Page &lt;title&gt; never updates across routes</t>
  </si>
  <si>
    <t>Low</t>
  </si>
  <si>
    <t>P4</t>
  </si>
  <si>
    <t>Checked document title on /login, /register, /dashboard</t>
  </si>
  <si>
    <t>Each route now has a distinct, descriptive title: 'Sign In - ForgeQA', 'Create Account - ForgeQA', 'Dashboard - ForgeQA'.</t>
  </si>
  <si>
    <t>Verified across all 3 routes checked. Ready for production.</t>
  </si>
  <si>
    <t>BUG-09</t>
  </si>
  <si>
    <t>Console JS errors accumulate silently on repeated failed submits</t>
  </si>
  <si>
    <t>Submitted the login form repeatedly with invalid data; monitored console error counter</t>
  </si>
  <si>
    <t>Console error count again climbed with each submission (reached 6 during the lockout test sequence), same pattern as before.</t>
  </si>
  <si>
    <t>Unchanged. Recommend the dev team check devtools console directly to identify the specific unhandled exception during failed-login submits.</t>
  </si>
  <si>
    <t>BUG-10</t>
  </si>
  <si>
    <t>2FA step not triggered / not verifiable for tested account</t>
  </si>
  <si>
    <t>Logged in again with the provided valid credentials (jagath182001@gmail.com)</t>
  </si>
  <si>
    <t>Still goes straight from password to /dashboard with no TOTP prompt - identical to previous tests.</t>
  </si>
  <si>
    <t>STILL UNVERIFIABLE</t>
  </si>
  <si>
    <t>No behavior change either way. Still need a 2FA-enabled test account to properly verify this AC (TOTP prompt, 'remember this device' checkbox, 30-day trusted-device token).</t>
  </si>
  <si>
    <t>BUG-11</t>
  </si>
  <si>
    <t>No refresh-token / silent renewal mechanism observed; JWT hard-expires in 24h</t>
  </si>
  <si>
    <t>Logged in, decoded the returned JWT's iat/exp claims</t>
  </si>
  <si>
    <t>JWT expiry duration has changed significantly: now exactly 900s (15 minutes) instead of the previous 86400s (24h). Still no refresh token issued. Note: since BUG-03's fix means this JSON-body token is no longer the thing driving client auth (a cookie is), the practical impact of this shorter expiry is unclear.</t>
  </si>
  <si>
    <t>CHANGED - NEEDS CLARIFICATION</t>
  </si>
  <si>
    <t>Confirm with the dev team: (1) is the 15-minute expiry on the JSON-body token intentional, (2) does the actual session cookie have a different/appropriate expiry, and (3) is a refresh mechanism planned.</t>
  </si>
  <si>
    <t>BUG-12</t>
  </si>
  <si>
    <t>Password visibility toggle button has no accessible name</t>
  </si>
  <si>
    <t>Inspected the toggle button's aria-label/title/textContent on both /login and /register</t>
  </si>
  <si>
    <t>On /login: FIXED - button now exposes an accessible name 'Show password'. On /register: NOT FIXED - the identical toggle still returns ariaLabel: null, title: null, empty textContent.</t>
  </si>
  <si>
    <t>PARTIALLY FIXED</t>
  </si>
  <si>
    <t>The fix was applied to the Login form's password toggle but not the Register form's - likely a separate component or the fix wasn't applied to both instances. Needs the same aria-label added on the Register page.</t>
  </si>
  <si>
    <t>BUG-13</t>
  </si>
  <si>
    <t>Error/lockout messages likely not announced to screen readers</t>
  </si>
  <si>
    <t>Triggered a login error and inspected the error element's role/aria-live attributes</t>
  </si>
  <si>
    <t>Error message is now wrapped in an element with role="alert" (confirmed via DOM inspection), which implicitly behaves as an assertive live region and will be announced by screen readers automatically.</t>
  </si>
  <si>
    <t>ForgeQA - Login (US-1.2) Dev Branch Regression Summary</t>
  </si>
  <si>
    <t>Retest date: 18-Jul-2026 | Environment: forgeqa-in-git-dev-jagaths-projects-bed6c310.vercel.app (dev branch)</t>
  </si>
  <si>
    <t>Total Bugs Retested</t>
  </si>
  <si>
    <t>Fixed</t>
  </si>
  <si>
    <t>Not Fixed</t>
  </si>
  <si>
    <t>Partially Fixed</t>
  </si>
  <si>
    <t>Still Unverifiable</t>
  </si>
  <si>
    <t>Changed - Needs Clarification</t>
  </si>
  <si>
    <t>Conclusion</t>
  </si>
  <si>
    <t>8 of 13 bugs are confirmed FIXED on the dev branch (BUG-01, 02, 03, 05, 06, 07, 08, 13). BUG-04 (welcome popup) and BUG-09 (console errors) are still NOT fixed. BUG-12 (password toggle accessible name) is only PARTIALLY fixed - applied to the Login page but missed on the Register page. BUG-11 (JWT expiry) changed behavior (24h -&gt; 15 min) but needs clarification on intent since auth now relies on a cookie, not the JSON-body token. BUG-10 (2FA) remains unverifiable without a 2FA-enabled test account. Recommend addressing BUG-04, BUG-09, and BUG-12 (Register page) before merging to main / production, and getting clarification on BUG-11 and BUG-10.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</si>
</sst>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1"/>
      <color rgb="FFFFFFFF"/>
      <name val="Arial"/>
      <charset val="1"/>
    </font>
    <font>
      <sz val="10"/>
      <name val="Arial"/>
      <charset val="1"/>
    </font>
    <font>
      <b/>
      <sz val="10"/>
      <name val="Arial"/>
      <charset val="1"/>
    </font>
    <font>
      <b/>
      <sz val="14"/>
      <name val="Arial"/>
      <charset val="1"/>
    </font>
    <font>
      <i/>
      <sz val="10"/>
      <name val="Arial"/>
      <charset val="1"/>
    </font>
    <font>
      <b/>
      <sz val="11"/>
      <name val="Arial"/>
      <charset val="1"/>
    </font>
    <font>
      <sz val="11"/>
      <name val="Arial"/>
      <charset val="1"/>
    </font>
    <font>
      <b/>
      <sz val="12"/>
      <name val="Arial"/>
      <charset val="1"/>
    </font>
  </fonts>
  <fills count="10">
    <fill>
      <patternFill patternType="none"/>
    </fill>
    <fill>
      <patternFill patternType="gray125"/>
    </fill>
    <fill>
      <patternFill patternType="solid">
        <fgColor rgb="FF1F2937"/>
        <bgColor rgb="FF333300"/>
      </patternFill>
    </fill>
    <fill>
      <patternFill patternType="solid">
        <fgColor rgb="FFFECACA"/>
        <bgColor rgb="FFFED7AA"/>
      </patternFill>
    </fill>
    <fill>
      <patternFill patternType="solid">
        <fgColor rgb="FFBBF7D0"/>
        <bgColor rgb="FFCCFFFF"/>
      </patternFill>
    </fill>
    <fill>
      <patternFill patternType="solid">
        <fgColor rgb="FFFED7AA"/>
        <bgColor rgb="FFFECACA"/>
      </patternFill>
    </fill>
    <fill>
      <patternFill patternType="solid">
        <fgColor rgb="FFFEF08A"/>
        <bgColor rgb="FFFDE68A"/>
      </patternFill>
    </fill>
    <fill>
      <patternFill patternType="solid">
        <fgColor rgb="FFD9F99D"/>
        <bgColor rgb="FFFEF08A"/>
      </patternFill>
    </fill>
    <fill>
      <patternFill patternType="solid">
        <fgColor rgb="FFE5E7EB"/>
        <bgColor rgb="FFD1D5DB"/>
      </patternFill>
    </fill>
    <fill>
      <patternFill patternType="solid">
        <fgColor rgb="FFFDE68A"/>
        <bgColor rgb="FFFEF08A"/>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8">
    <xf numFmtId="0" fontId="0" fillId="0" borderId="0" xfId="0"/>
    <xf numFmtId="0" fontId="2" fillId="0" borderId="0" xfId="0" applyFont="1" applyBorder="1" applyAlignment="1">
      <alignment vertical="top" wrapText="1"/>
    </xf>
    <xf numFmtId="0" fontId="5" fillId="0" borderId="0" xfId="0" applyFont="1" applyBorder="1"/>
    <xf numFmtId="0" fontId="4" fillId="0" borderId="0" xfId="0" applyFont="1" applyBorder="1"/>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6" fillId="0" borderId="0" xfId="0" applyFont="1"/>
    <xf numFmtId="0" fontId="7" fillId="0" borderId="0" xfId="0" applyFont="1"/>
    <xf numFmtId="0" fontId="8"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DE68A"/>
      <rgbColor rgb="FFFF00FF"/>
      <rgbColor rgb="FF00FFFF"/>
      <rgbColor rgb="FF800000"/>
      <rgbColor rgb="FF008000"/>
      <rgbColor rgb="FF000080"/>
      <rgbColor rgb="FF808000"/>
      <rgbColor rgb="FF800080"/>
      <rgbColor rgb="FF008080"/>
      <rgbColor rgb="FFFECACA"/>
      <rgbColor rgb="FF808080"/>
      <rgbColor rgb="FF9999FF"/>
      <rgbColor rgb="FF993366"/>
      <rgbColor rgb="FFD9F99D"/>
      <rgbColor rgb="FFE5E7EB"/>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BBF7D0"/>
      <rgbColor rgb="FFFEF08A"/>
      <rgbColor rgb="FF99CCFF"/>
      <rgbColor rgb="FFFF99CC"/>
      <rgbColor rgb="FFCC99FF"/>
      <rgbColor rgb="FFFED7AA"/>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14"/>
  <sheetViews>
    <sheetView tabSelected="1" zoomScaleNormal="100" workbookViewId="0">
      <pane ySplit="1" topLeftCell="A11" activePane="bottomLeft" state="frozen"/>
      <selection pane="bottomLeft" activeCell="A5" sqref="A5:XFD13"/>
    </sheetView>
  </sheetViews>
  <sheetFormatPr defaultColWidth="8.6328125" defaultRowHeight="14.5" x14ac:dyDescent="0.35"/>
  <cols>
    <col min="1" max="1" width="9" customWidth="1"/>
    <col min="2" max="2" width="32" customWidth="1"/>
    <col min="3" max="3" width="10" customWidth="1"/>
    <col min="4" max="4" width="9" customWidth="1"/>
    <col min="5" max="5" width="32" customWidth="1"/>
    <col min="6" max="6" width="46" customWidth="1"/>
    <col min="7" max="7" width="16" customWidth="1"/>
    <col min="8" max="8" width="40" customWidth="1"/>
  </cols>
  <sheetData>
    <row r="1" spans="1:8" x14ac:dyDescent="0.35">
      <c r="A1" s="4" t="s">
        <v>0</v>
      </c>
      <c r="B1" s="4" t="s">
        <v>1</v>
      </c>
      <c r="C1" s="4" t="s">
        <v>2</v>
      </c>
      <c r="D1" s="4" t="s">
        <v>3</v>
      </c>
      <c r="E1" s="4" t="s">
        <v>4</v>
      </c>
      <c r="F1" s="4" t="s">
        <v>5</v>
      </c>
      <c r="G1" s="4" t="s">
        <v>6</v>
      </c>
      <c r="H1" s="4" t="s">
        <v>7</v>
      </c>
    </row>
    <row r="2" spans="1:8" ht="94.5" hidden="1" customHeight="1" x14ac:dyDescent="0.35">
      <c r="A2" s="5" t="s">
        <v>8</v>
      </c>
      <c r="B2" s="5" t="s">
        <v>9</v>
      </c>
      <c r="C2" s="6" t="s">
        <v>10</v>
      </c>
      <c r="D2" s="6" t="s">
        <v>11</v>
      </c>
      <c r="E2" s="5" t="s">
        <v>12</v>
      </c>
      <c r="F2" s="5" t="s">
        <v>13</v>
      </c>
      <c r="G2" s="7" t="s">
        <v>14</v>
      </c>
      <c r="H2" s="5" t="s">
        <v>15</v>
      </c>
    </row>
    <row r="3" spans="1:8" ht="94.5" hidden="1" customHeight="1" x14ac:dyDescent="0.35">
      <c r="A3" s="5" t="s">
        <v>16</v>
      </c>
      <c r="B3" s="5" t="s">
        <v>17</v>
      </c>
      <c r="C3" s="6" t="s">
        <v>10</v>
      </c>
      <c r="D3" s="6" t="s">
        <v>11</v>
      </c>
      <c r="E3" s="5" t="s">
        <v>18</v>
      </c>
      <c r="F3" s="5" t="s">
        <v>19</v>
      </c>
      <c r="G3" s="7" t="s">
        <v>14</v>
      </c>
      <c r="H3" s="5" t="s">
        <v>15</v>
      </c>
    </row>
    <row r="4" spans="1:8" ht="94.5" hidden="1" customHeight="1" x14ac:dyDescent="0.35">
      <c r="A4" s="5" t="s">
        <v>20</v>
      </c>
      <c r="B4" s="5" t="s">
        <v>21</v>
      </c>
      <c r="C4" s="6" t="s">
        <v>10</v>
      </c>
      <c r="D4" s="6" t="s">
        <v>11</v>
      </c>
      <c r="E4" s="5" t="s">
        <v>22</v>
      </c>
      <c r="F4" s="5" t="s">
        <v>23</v>
      </c>
      <c r="G4" s="7" t="s">
        <v>14</v>
      </c>
      <c r="H4" s="5" t="s">
        <v>24</v>
      </c>
    </row>
    <row r="5" spans="1:8" ht="94.5" customHeight="1" x14ac:dyDescent="0.35">
      <c r="A5" s="5" t="s">
        <v>25</v>
      </c>
      <c r="B5" s="5" t="s">
        <v>26</v>
      </c>
      <c r="C5" s="8" t="s">
        <v>27</v>
      </c>
      <c r="D5" s="8" t="s">
        <v>28</v>
      </c>
      <c r="E5" s="5" t="s">
        <v>29</v>
      </c>
      <c r="F5" s="5" t="s">
        <v>30</v>
      </c>
      <c r="G5" s="9" t="s">
        <v>31</v>
      </c>
      <c r="H5" s="5" t="s">
        <v>32</v>
      </c>
    </row>
    <row r="6" spans="1:8" ht="94.5" hidden="1" customHeight="1" x14ac:dyDescent="0.35">
      <c r="A6" s="5" t="s">
        <v>33</v>
      </c>
      <c r="B6" s="5" t="s">
        <v>34</v>
      </c>
      <c r="C6" s="8" t="s">
        <v>27</v>
      </c>
      <c r="D6" s="8" t="s">
        <v>28</v>
      </c>
      <c r="E6" s="5" t="s">
        <v>35</v>
      </c>
      <c r="F6" s="5" t="s">
        <v>36</v>
      </c>
      <c r="G6" s="7" t="s">
        <v>14</v>
      </c>
      <c r="H6" s="5" t="s">
        <v>15</v>
      </c>
    </row>
    <row r="7" spans="1:8" ht="94.5" hidden="1" customHeight="1" x14ac:dyDescent="0.35">
      <c r="A7" s="5" t="s">
        <v>37</v>
      </c>
      <c r="B7" s="5" t="s">
        <v>38</v>
      </c>
      <c r="C7" s="8" t="s">
        <v>27</v>
      </c>
      <c r="D7" s="8" t="s">
        <v>28</v>
      </c>
      <c r="E7" s="5" t="s">
        <v>39</v>
      </c>
      <c r="F7" s="5" t="s">
        <v>40</v>
      </c>
      <c r="G7" s="7" t="s">
        <v>14</v>
      </c>
      <c r="H7" s="5" t="s">
        <v>41</v>
      </c>
    </row>
    <row r="8" spans="1:8" ht="94.5" hidden="1" customHeight="1" x14ac:dyDescent="0.35">
      <c r="A8" s="5" t="s">
        <v>42</v>
      </c>
      <c r="B8" s="5" t="s">
        <v>43</v>
      </c>
      <c r="C8" s="10" t="s">
        <v>44</v>
      </c>
      <c r="D8" s="10" t="s">
        <v>45</v>
      </c>
      <c r="E8" s="5" t="s">
        <v>46</v>
      </c>
      <c r="F8" s="5" t="s">
        <v>47</v>
      </c>
      <c r="G8" s="7" t="s">
        <v>14</v>
      </c>
      <c r="H8" s="5" t="s">
        <v>15</v>
      </c>
    </row>
    <row r="9" spans="1:8" ht="94.5" hidden="1" customHeight="1" x14ac:dyDescent="0.35">
      <c r="A9" s="5" t="s">
        <v>48</v>
      </c>
      <c r="B9" s="5" t="s">
        <v>49</v>
      </c>
      <c r="C9" s="11" t="s">
        <v>50</v>
      </c>
      <c r="D9" s="11" t="s">
        <v>51</v>
      </c>
      <c r="E9" s="5" t="s">
        <v>52</v>
      </c>
      <c r="F9" s="5" t="s">
        <v>53</v>
      </c>
      <c r="G9" s="7" t="s">
        <v>14</v>
      </c>
      <c r="H9" s="5" t="s">
        <v>54</v>
      </c>
    </row>
    <row r="10" spans="1:8" ht="94.5" customHeight="1" x14ac:dyDescent="0.35">
      <c r="A10" s="5" t="s">
        <v>55</v>
      </c>
      <c r="B10" s="5" t="s">
        <v>56</v>
      </c>
      <c r="C10" s="10" t="s">
        <v>44</v>
      </c>
      <c r="D10" s="10" t="s">
        <v>45</v>
      </c>
      <c r="E10" s="5" t="s">
        <v>57</v>
      </c>
      <c r="F10" s="5" t="s">
        <v>58</v>
      </c>
      <c r="G10" s="9" t="s">
        <v>31</v>
      </c>
      <c r="H10" s="5" t="s">
        <v>59</v>
      </c>
    </row>
    <row r="11" spans="1:8" ht="94.5" customHeight="1" x14ac:dyDescent="0.35">
      <c r="A11" s="5" t="s">
        <v>60</v>
      </c>
      <c r="B11" s="5" t="s">
        <v>61</v>
      </c>
      <c r="C11" s="10" t="s">
        <v>44</v>
      </c>
      <c r="D11" s="10" t="s">
        <v>45</v>
      </c>
      <c r="E11" s="5" t="s">
        <v>62</v>
      </c>
      <c r="F11" s="5" t="s">
        <v>63</v>
      </c>
      <c r="G11" s="12" t="s">
        <v>64</v>
      </c>
      <c r="H11" s="5" t="s">
        <v>65</v>
      </c>
    </row>
    <row r="12" spans="1:8" ht="94.5" customHeight="1" x14ac:dyDescent="0.35">
      <c r="A12" s="5" t="s">
        <v>66</v>
      </c>
      <c r="B12" s="5" t="s">
        <v>67</v>
      </c>
      <c r="C12" s="11" t="s">
        <v>50</v>
      </c>
      <c r="D12" s="11" t="s">
        <v>51</v>
      </c>
      <c r="E12" s="5" t="s">
        <v>68</v>
      </c>
      <c r="F12" s="5" t="s">
        <v>69</v>
      </c>
      <c r="G12" s="13" t="s">
        <v>70</v>
      </c>
      <c r="H12" s="5" t="s">
        <v>71</v>
      </c>
    </row>
    <row r="13" spans="1:8" ht="94.5" customHeight="1" x14ac:dyDescent="0.35">
      <c r="A13" s="5" t="s">
        <v>72</v>
      </c>
      <c r="B13" s="5" t="s">
        <v>73</v>
      </c>
      <c r="C13" s="11" t="s">
        <v>50</v>
      </c>
      <c r="D13" s="11" t="s">
        <v>51</v>
      </c>
      <c r="E13" s="5" t="s">
        <v>74</v>
      </c>
      <c r="F13" s="5" t="s">
        <v>75</v>
      </c>
      <c r="G13" s="14" t="s">
        <v>76</v>
      </c>
      <c r="H13" s="5" t="s">
        <v>77</v>
      </c>
    </row>
    <row r="14" spans="1:8" ht="94.5" hidden="1" customHeight="1" x14ac:dyDescent="0.35">
      <c r="A14" s="5" t="s">
        <v>78</v>
      </c>
      <c r="B14" s="5" t="s">
        <v>79</v>
      </c>
      <c r="C14" s="10" t="s">
        <v>44</v>
      </c>
      <c r="D14" s="10" t="s">
        <v>45</v>
      </c>
      <c r="E14" s="5" t="s">
        <v>80</v>
      </c>
      <c r="F14" s="5" t="s">
        <v>81</v>
      </c>
      <c r="G14" s="7" t="s">
        <v>14</v>
      </c>
      <c r="H14" s="5" t="s">
        <v>15</v>
      </c>
    </row>
  </sheetData>
  <autoFilter ref="A1:H14" xr:uid="{00000000-0001-0000-0000-000000000000}">
    <filterColumn colId="6">
      <filters>
        <filter val="CHANGED - NEEDS CLARIFICATION"/>
        <filter val="NOT FIXED"/>
        <filter val="PARTIALLY FIXED"/>
        <filter val="STILL UNVERIFIABLE"/>
      </filters>
    </filterColumn>
  </autoFilter>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
  <sheetViews>
    <sheetView zoomScaleNormal="100" workbookViewId="0"/>
  </sheetViews>
  <sheetFormatPr defaultColWidth="8.6328125" defaultRowHeight="14.5" x14ac:dyDescent="0.35"/>
  <cols>
    <col min="1" max="1" width="30" customWidth="1"/>
    <col min="2" max="2" width="14" customWidth="1"/>
  </cols>
  <sheetData>
    <row r="1" spans="1:5" ht="18" x14ac:dyDescent="0.4">
      <c r="A1" s="3" t="s">
        <v>82</v>
      </c>
      <c r="B1" s="3"/>
      <c r="C1" s="3"/>
    </row>
    <row r="2" spans="1:5" x14ac:dyDescent="0.35">
      <c r="A2" s="2" t="s">
        <v>83</v>
      </c>
      <c r="B2" s="2"/>
      <c r="C2" s="2"/>
      <c r="D2" s="2"/>
    </row>
    <row r="4" spans="1:5" x14ac:dyDescent="0.35">
      <c r="A4" s="15" t="s">
        <v>84</v>
      </c>
      <c r="B4" s="15">
        <f>COUNTA('Dev Branch Regression'!A2:A100)</f>
        <v>13</v>
      </c>
    </row>
    <row r="5" spans="1:5" x14ac:dyDescent="0.35">
      <c r="A5" s="16" t="s">
        <v>85</v>
      </c>
      <c r="B5" s="15">
        <f>COUNTIF('Dev Branch Regression'!G2:G100,"FIXED")</f>
        <v>8</v>
      </c>
    </row>
    <row r="6" spans="1:5" x14ac:dyDescent="0.35">
      <c r="A6" s="16" t="s">
        <v>86</v>
      </c>
      <c r="B6" s="15">
        <f>COUNTIF('Dev Branch Regression'!G2:G100,"NOT FIXED")</f>
        <v>2</v>
      </c>
    </row>
    <row r="7" spans="1:5" x14ac:dyDescent="0.35">
      <c r="A7" s="16" t="s">
        <v>87</v>
      </c>
      <c r="B7" s="15">
        <f>COUNTIF('Dev Branch Regression'!G2:G100,"PARTIALLY FIXED")</f>
        <v>1</v>
      </c>
    </row>
    <row r="8" spans="1:5" x14ac:dyDescent="0.35">
      <c r="A8" s="16" t="s">
        <v>88</v>
      </c>
      <c r="B8" s="15">
        <f>COUNTIF('Dev Branch Regression'!G2:G100,"STILL UNVERIFIABLE")</f>
        <v>1</v>
      </c>
    </row>
    <row r="9" spans="1:5" x14ac:dyDescent="0.35">
      <c r="A9" s="16" t="s">
        <v>89</v>
      </c>
      <c r="B9" s="15">
        <f>COUNTIF('Dev Branch Regression'!G2:G100,"CHANGED - NEEDS CLARIFICATION")</f>
        <v>1</v>
      </c>
    </row>
    <row r="11" spans="1:5" ht="15.5" x14ac:dyDescent="0.35">
      <c r="A11" s="17" t="s">
        <v>90</v>
      </c>
    </row>
    <row r="12" spans="1:5" ht="15" customHeight="1" x14ac:dyDescent="0.35">
      <c r="A12" s="1" t="s">
        <v>91</v>
      </c>
      <c r="B12" s="1"/>
      <c r="C12" s="1"/>
      <c r="D12" s="1"/>
      <c r="E12" s="1"/>
    </row>
    <row r="13" spans="1:5" x14ac:dyDescent="0.35">
      <c r="A13" s="1"/>
      <c r="B13" s="1"/>
      <c r="C13" s="1"/>
      <c r="D13" s="1"/>
      <c r="E13" s="1"/>
    </row>
    <row r="14" spans="1:5" x14ac:dyDescent="0.35">
      <c r="A14" s="1"/>
      <c r="B14" s="1"/>
      <c r="C14" s="1"/>
      <c r="D14" s="1"/>
      <c r="E14" s="1"/>
    </row>
    <row r="15" spans="1:5" x14ac:dyDescent="0.35">
      <c r="A15" s="1"/>
      <c r="B15" s="1"/>
      <c r="C15" s="1"/>
      <c r="D15" s="1"/>
      <c r="E15" s="1"/>
    </row>
    <row r="16" spans="1:5" x14ac:dyDescent="0.35">
      <c r="A16" s="1"/>
      <c r="B16" s="1"/>
      <c r="C16" s="1"/>
      <c r="D16" s="1"/>
      <c r="E16" s="1"/>
    </row>
    <row r="17" spans="1:5" x14ac:dyDescent="0.35">
      <c r="A17" s="1"/>
      <c r="B17" s="1"/>
      <c r="C17" s="1"/>
      <c r="D17" s="1"/>
      <c r="E17" s="1"/>
    </row>
    <row r="18" spans="1:5" x14ac:dyDescent="0.35">
      <c r="A18" s="1"/>
      <c r="B18" s="1"/>
      <c r="C18" s="1"/>
      <c r="D18" s="1"/>
      <c r="E18" s="1"/>
    </row>
    <row r="19" spans="1:5" x14ac:dyDescent="0.35">
      <c r="A19" s="1"/>
      <c r="B19" s="1"/>
      <c r="C19" s="1"/>
      <c r="D19" s="1"/>
      <c r="E19" s="1"/>
    </row>
    <row r="20" spans="1:5" x14ac:dyDescent="0.35">
      <c r="A20" s="1"/>
      <c r="B20" s="1"/>
      <c r="C20" s="1"/>
      <c r="D20" s="1"/>
      <c r="E20" s="1"/>
    </row>
  </sheetData>
  <mergeCells count="3">
    <mergeCell ref="A1:C1"/>
    <mergeCell ref="A2:D2"/>
    <mergeCell ref="A12:E2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Dev Branch Regression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jagath r</cp:lastModifiedBy>
  <cp:revision>0</cp:revision>
  <dcterms:created xsi:type="dcterms:W3CDTF">2026-07-18T08:07:11Z</dcterms:created>
  <dcterms:modified xsi:type="dcterms:W3CDTF">2026-07-19T08:11:18Z</dcterms:modified>
  <dc:language>en-US</dc:language>
</cp:coreProperties>
</file>