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g List"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<sst xmlns="http://schemas.openxmlformats.org/spreadsheetml/2006/main" count="169" uniqueCount="129">
  <si>
    <t xml:space="preserve">Bug ID</t>
  </si>
  <si>
    <t xml:space="preserve">Title</t>
  </si>
  <si>
    <t xml:space="preserve">Category</t>
  </si>
  <si>
    <t xml:space="preserve">Description / Evidence</t>
  </si>
  <si>
    <t xml:space="preserve">Steps to Reproduce</t>
  </si>
  <si>
    <t xml:space="preserve">Expected Result</t>
  </si>
  <si>
    <t xml:space="preserve">Actual Result</t>
  </si>
  <si>
    <t xml:space="preserve">Severity</t>
  </si>
  <si>
    <t xml:space="preserve">Priority</t>
  </si>
  <si>
    <t xml:space="preserve">Status</t>
  </si>
  <si>
    <t xml:space="preserve">Environment</t>
  </si>
  <si>
    <t xml:space="preserve">BUG-01</t>
  </si>
  <si>
    <t xml:space="preserve">Login API leaks disposable-email validation instead of generic auth error</t>
  </si>
  <si>
    <t xml:space="preserve">Security / Functional</t>
  </si>
  <si>
    <t xml:space="preserve">POST /api/auth/login returns 400 with message 'Temporary email addresses are not allowed.' Signup-style domain-blocklist logic is running on the LOGIN endpoint instead of a generic credential check.</t>
  </si>
  <si>
    <t xml:space="preserve">1. Go to /login
2. Enter test@example.com with any password
3. Click Sign In</t>
  </si>
  <si>
    <t xml:space="preserve">Generic 'Invalid email or password' message, no field-specific/domain info revealed</t>
  </si>
  <si>
    <t xml:space="preserve">400 error: 'Temporary email addresses are not allowed.' reveals validation logic and blocks that domain from ever logging in</t>
  </si>
  <si>
    <t xml:space="preserve">Critical</t>
  </si>
  <si>
    <t xml:space="preserve">P1</t>
  </si>
  <si>
    <t xml:space="preserve">Open</t>
  </si>
  <si>
    <t xml:space="preserve">app.forgeqa.in/login</t>
  </si>
  <si>
    <t xml:space="preserve">BUG-02</t>
  </si>
  <si>
    <t xml:space="preserve">User enumeration via Forgot Password flow</t>
  </si>
  <si>
    <t xml:space="preserve">Security</t>
  </si>
  <si>
    <t xml:space="preserve">Submitting an unregistered email on Forgot Password returns 'This email is not registered. Please provide the registered email address.' allowing attackers to enumerate valid accounts.</t>
  </si>
  <si>
    <t xml:space="preserve">1. Go to /login &gt; Forgot password?
2. Enter an email not in the system
3. Click Send Reset Link</t>
  </si>
  <si>
    <t xml:space="preserve">Generic message such as 'If this email exists, a reset link has been sent' regardless of whether account exists</t>
  </si>
  <si>
    <t xml:space="preserve">System explicitly confirms the email is not registered</t>
  </si>
  <si>
    <t xml:space="preserve">BUG-03</t>
  </si>
  <si>
    <t xml:space="preserve">JWT not protected by HttpOnly cookie; fully exposed via sessionStorage</t>
  </si>
  <si>
    <t xml:space="preserve">AC requires JWT stored in both HttpOnly cookie and sessionStorage. document.cookie returned only 'session=active' (a JS-readable flag, no token). The actual signed JWT lives solely in sessionStorage.nextest_token, fully accessible to any script (XSS = full session theft). No Set-Cookie header was present on the login response at all.</t>
  </si>
  <si>
    <t xml:space="preserve">1. Log in with valid credentials
2. Run document.cookie and check sessionStorage in devtools/console</t>
  </si>
  <si>
    <t xml:space="preserve">JWT stored in a true HttpOnly cookie (not readable via document.cookie) in addition to sessionStorage, per AC</t>
  </si>
  <si>
    <t xml:space="preserve">No HttpOnly cookie set; JWT sits in plain JS-accessible sessionStorage only</t>
  </si>
  <si>
    <t xml:space="preserve">app.forgeqa.in/dashboard</t>
  </si>
  <si>
    <t xml:space="preserve">BUG-04</t>
  </si>
  <si>
    <t xml:space="preserve">Welcome onboarding flow does not trigger for first-time user</t>
  </si>
  <si>
    <t xml:space="preserve">Functional</t>
  </si>
  <si>
    <t xml:space="preserve">Login response body explicitly returned has_seen_welcome:false, indicating backend expects onboarding to run. Frontend redirected to plain /dashboard with no ?welcome=true query param and no WelcomePopup modal appeared.</t>
  </si>
  <si>
    <t xml:space="preserve">1. Log in with an account whose has_seen_welcome flag is false
2. Observe redirect URL and page for a welcome modal</t>
  </si>
  <si>
    <t xml:space="preserve">Redirect to /dashboard?welcome=true and WelcomePopup onboarding modal displayed</t>
  </si>
  <si>
    <t xml:space="preserve">Redirected to /dashboard (no query param); no popup shown</t>
  </si>
  <si>
    <t xml:space="preserve">High</t>
  </si>
  <si>
    <t xml:space="preserve">P2</t>
  </si>
  <si>
    <t xml:space="preserve">BUG-05</t>
  </si>
  <si>
    <t xml:space="preserve">Account lockout has no visible countdown timer</t>
  </si>
  <si>
    <t xml:space="preserve">Functional / Usability</t>
  </si>
  <si>
    <t xml:space="preserve">After 5 consecutive failed login attempts, server correctly returns 429 'Account temporarily locked...' but no countdown/unlock time is shown in the UI, and no Retry-After or unlock-timestamp is present in the API response.</t>
  </si>
  <si>
    <t xml:space="preserve">1. Attempt login with wrong password 5 times for the same valid email
2. Observe UI and network response on the 5th/6th attempt</t>
  </si>
  <si>
    <t xml:space="preserve">Visible countdown timer showing remaining lockout time (15 min), per AC</t>
  </si>
  <si>
    <t xml:space="preserve">Static text only: 'Account temporarily locked due to too many failed attempts. Try again later.' — no countdown, no retry-after data</t>
  </si>
  <si>
    <t xml:space="preserve">BUG-06</t>
  </si>
  <si>
    <t xml:space="preserve">No client-side email format validation; silent dead click on submit</t>
  </si>
  <si>
    <t xml:space="preserve">Validation / Usability</t>
  </si>
  <si>
    <t xml:space="preserve">Entering an invalid email format (e.g. 'notanemail') along with a short password enables the Sign In button. Clicking it does nothing — no error message is shown and no network request is even sent.</t>
  </si>
  <si>
    <t xml:space="preserve">1. Go to /login
2. Enter 'notanemail' in Email and '123' in Password
3. Click Sign In</t>
  </si>
  <si>
    <t xml:space="preserve">Inline validation error shown before submit, or a clear error message on click; button should stay disabled for invalid format</t>
  </si>
  <si>
    <t xml:space="preserve">Button becomes enabled; click produces no visible feedback and fires no API request</t>
  </si>
  <si>
    <t xml:space="preserve">BUG-07</t>
  </si>
  <si>
    <t xml:space="preserve">Sign In button remains active/clickable during account lockout</t>
  </si>
  <si>
    <t xml:space="preserve">After the account is locked (429 response), the Sign In button is not disabled. Clicking it again fires another /api/auth/login request that also returns 429, wasting requests and providing no client-side guard.</t>
  </si>
  <si>
    <t xml:space="preserve">1. Trigger account lockout (5 failed attempts)
2. Click Sign In again without changing fields</t>
  </si>
  <si>
    <t xml:space="preserve">Sign In button disabled during lockout period, or a clear inline message preventing further submits</t>
  </si>
  <si>
    <t xml:space="preserve">Button stays clickable; repeated 429 responses can be generated</t>
  </si>
  <si>
    <t xml:space="preserve">Medium</t>
  </si>
  <si>
    <t xml:space="preserve">P3</t>
  </si>
  <si>
    <t xml:space="preserve">BUG-08</t>
  </si>
  <si>
    <t xml:space="preserve">Page &lt;title&gt; never updates across routes</t>
  </si>
  <si>
    <t xml:space="preserve">Accessibility / Usability</t>
  </si>
  <si>
    <t xml:space="preserve">The &lt;title&gt; tag remains 'ForgeQA — AI-Powered Test Automation Platform' on '/', '/login', and '/register', hurting tab identification, bookmarking, and screen-reader navigation by title.</t>
  </si>
  <si>
    <t xml:space="preserve">1. Navigate to /, then /login, then /register
2. Inspect the browser tab title / document.title on each</t>
  </si>
  <si>
    <t xml:space="preserve">Each route has a distinct, descriptive &lt;title&gt; (e.g. 'Sign In — ForgeQA')</t>
  </si>
  <si>
    <t xml:space="preserve">Title identical on all checked routes</t>
  </si>
  <si>
    <t xml:space="preserve">Low</t>
  </si>
  <si>
    <t xml:space="preserve">P4</t>
  </si>
  <si>
    <t xml:space="preserve">app.forgeqa.in (all routes)</t>
  </si>
  <si>
    <t xml:space="preserve">BUG-09</t>
  </si>
  <si>
    <t xml:space="preserve">Console JS errors accumulate silently on repeated failed submits</t>
  </si>
  <si>
    <t xml:space="preserve">Functional / Error Handling</t>
  </si>
  <si>
    <t xml:space="preserve">Each failed login submit increased the browser console error count (grew from 1 to 9 across the test session), but no error was surfaced to the user and root cause was not identified from the network layer alone.</t>
  </si>
  <si>
    <t xml:space="preserve">1. Submit the login form repeatedly with invalid data
2. Monitor browser console error count after each submit</t>
  </si>
  <si>
    <t xml:space="preserve">No unhandled JS errors in console during normal error-flow interactions</t>
  </si>
  <si>
    <t xml:space="preserve">Console error count increases with each submission</t>
  </si>
  <si>
    <t xml:space="preserve">BUG-10</t>
  </si>
  <si>
    <t xml:space="preserve">2FA step not triggered / not verifiable for tested account</t>
  </si>
  <si>
    <t xml:space="preserve">Functional (Needs Confirmation)</t>
  </si>
  <si>
    <t xml:space="preserve">Login with the provided valid credentials went straight from password submission to the dashboard, with no 6-digit TOTP prompt. Could not confirm whether 2FA is disabled for this account or the 2FA gate is not enforced.</t>
  </si>
  <si>
    <t xml:space="preserve">1. Log in with a known-valid, 2FA-enabled account
2. Observe whether TOTP input is shown after password verification</t>
  </si>
  <si>
    <t xml:space="preserve">TOTP input displayed after password verification when 2FA is enabled for the account, per AC</t>
  </si>
  <si>
    <t xml:space="preserve">No TOTP prompt appeared; went directly to dashboard</t>
  </si>
  <si>
    <t xml:space="preserve">Needs a 2FA-enabled test account to confirm</t>
  </si>
  <si>
    <t xml:space="preserve">BUG-11</t>
  </si>
  <si>
    <t xml:space="preserve">No refresh-token / silent renewal mechanism observed; JWT hard-expires in 24h</t>
  </si>
  <si>
    <t xml:space="preserve">Functional / Session Management</t>
  </si>
  <si>
    <t xml:space="preserve">Decoded JWT shows iat/exp difference of exactly 86400 seconds (24h) with no refresh token issued alongside it. Session will hard-expire mid-use, forcing a full re-login with no warning.</t>
  </si>
  <si>
    <t xml:space="preserve">1. Log in and decode the returned JWT (iat and exp claims)
2. Check for any refresh token or silent-renewal call</t>
  </si>
  <si>
    <t xml:space="preserve">Either a longer session, or a refresh-token flow that renews the session before expiry</t>
  </si>
  <si>
    <t xml:space="preserve">JWT expires in exactly 24h; no refresh mechanism observed</t>
  </si>
  <si>
    <t xml:space="preserve">Open — needs confirmation this is by design</t>
  </si>
  <si>
    <t xml:space="preserve">BUG-12</t>
  </si>
  <si>
    <t xml:space="preserve">Password visibility toggle button has no accessible name</t>
  </si>
  <si>
    <t xml:space="preserve">Accessibility</t>
  </si>
  <si>
    <t xml:space="preserve">The show/hide password icon button renders with no visible accessible label in the accessibility tree, so screen reader users cannot tell what the control does.</t>
  </si>
  <si>
    <t xml:space="preserve">1. Go to /login
2. Inspect the eye-icon toggle button next to the Password field via accessibility snapshot / screen reader</t>
  </si>
  <si>
    <t xml:space="preserve">Button has an aria-label such as 'Show password' / 'Hide password'</t>
  </si>
  <si>
    <t xml:space="preserve">Button exposes no accessible name</t>
  </si>
  <si>
    <t xml:space="preserve">BUG-13</t>
  </si>
  <si>
    <t xml:space="preserve">Error/lockout messages likely not announced to screen readers</t>
  </si>
  <si>
    <t xml:space="preserve">Error banners (e.g. 'Invalid email or password', lockout message) render as plain generic divs with no ARIA live region role detected, so they may not be announced automatically to assistive technology.</t>
  </si>
  <si>
    <t xml:space="preserve">1. Trigger a login error
2. Check the error element for role='alert' or aria-live attribute</t>
  </si>
  <si>
    <t xml:space="preserve">Error text is wrapped in an aria-live region (e.g. role='alert') so screen readers announce it immediately</t>
  </si>
  <si>
    <t xml:space="preserve">No ARIA live role detected on error containers</t>
  </si>
  <si>
    <t xml:space="preserve">Open — needs screen-reader confirmation</t>
  </si>
  <si>
    <t xml:space="preserve">ForgeQA — Login (US-1.2) QA Test Summary</t>
  </si>
  <si>
    <t xml:space="preserve">Total Bugs Found</t>
  </si>
  <si>
    <t xml:space="preserve">Critical (P1)</t>
  </si>
  <si>
    <t xml:space="preserve">High (P2)</t>
  </si>
  <si>
    <t xml:space="preserve">Medium (P3)</t>
  </si>
  <si>
    <t xml:space="preserve">Low (P4)</t>
  </si>
  <si>
    <t xml:space="preserve">Priority Legend</t>
  </si>
  <si>
    <t xml:space="preserve">P1 - Critical</t>
  </si>
  <si>
    <t xml:space="preserve">Security-critical or blocks core functionality; fix immediately</t>
  </si>
  <si>
    <t xml:space="preserve">P2 - High</t>
  </si>
  <si>
    <t xml:space="preserve">Significant functional/AC violation; fix before release</t>
  </si>
  <si>
    <t xml:space="preserve">P3 - Medium</t>
  </si>
  <si>
    <t xml:space="preserve">Should be fixed soon; workaround may exist</t>
  </si>
  <si>
    <t xml:space="preserve">P4 - Low</t>
  </si>
  <si>
    <t xml:space="preserve">Minor / cosmetic / accessibility polish</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</si>
</sst>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b val="true"/>
      <sz val="14"/>
      <name val="Arial"/>
      <family val="0"/>
      <charset val="1"/>
    </font>
    <font>
      <b val="true"/>
      <sz val="11"/>
      <name val="Arial"/>
      <family val="0"/>
      <charset val="1"/>
    </font>
    <font>
      <sz val="11"/>
      <name val="Arial"/>
      <family val="0"/>
      <charset val="1"/>
    </font>
    <font>
      <b val="true"/>
      <sz val="12"/>
      <name val="Arial"/>
      <family val="0"/>
      <charset val="1"/>
    </font>
  </fonts>
  <fills count="7">
    <fill>
      <patternFill patternType="none"/>
    </fill>
    <fill>
      <patternFill patternType="gray125"/>
    </fill>
    <fill>
      <patternFill patternType="solid">
        <fgColor rgb="FF1F2937"/>
        <bgColor rgb="FF333300"/>
      </patternFill>
    </fill>
    <fill>
      <patternFill patternType="solid">
        <fgColor rgb="FFFECACA"/>
        <bgColor rgb="FFFED7AA"/>
      </patternFill>
    </fill>
    <fill>
      <patternFill patternType="solid">
        <fgColor rgb="FFFED7AA"/>
        <bgColor rgb="FFFECACA"/>
      </patternFill>
    </fill>
    <fill>
      <patternFill patternType="solid">
        <fgColor rgb="FFFEF08A"/>
        <bgColor rgb="FFFED7AA"/>
      </patternFill>
    </fill>
    <fill>
      <patternFill patternType="solid">
        <fgColor rgb="FFD9F99D"/>
        <bgColor rgb="FFFEF08A"/>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ECACA"/>
      <rgbColor rgb="FF808080"/>
      <rgbColor rgb="FF9999FF"/>
      <rgbColor rgb="FF993366"/>
      <rgbColor rgb="FFFFFFCC"/>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D9F99D"/>
      <rgbColor rgb="FFFEF08A"/>
      <rgbColor rgb="FF99CCFF"/>
      <rgbColor rgb="FFFF99CC"/>
      <rgbColor rgb="FFCC99FF"/>
      <rgbColor rgb="FFFED7AA"/>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20"/>
    <col collapsed="false" customWidth="true" hidden="false" outlineLevel="0" max="4" min="4" style="0" width="46"/>
    <col collapsed="false" customWidth="true" hidden="false" outlineLevel="0" max="7" min="5" style="0" width="34"/>
    <col collapsed="false" customWidth="true" hidden="false" outlineLevel="0" max="8" min="8" style="0" width="11"/>
    <col collapsed="false" customWidth="true" hidden="false" outlineLevel="0" max="9" min="9" style="0" width="10"/>
    <col collapsed="false" customWidth="true" hidden="false" outlineLevel="0" max="10" min="10" style="0" width="24"/>
    <col collapsed="false" customWidth="true" hidden="false" outlineLevel="0" max="11" min="11" style="0" width="2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90" hidden="false" customHeight="true" outlineLevel="0" collapsed="false">
      <c r="A2" s="2" t="s">
        <v>11</v>
      </c>
      <c r="B2" s="2" t="s">
        <v>12</v>
      </c>
      <c r="C2" s="2" t="s">
        <v>13</v>
      </c>
      <c r="D2" s="2" t="s">
        <v>14</v>
      </c>
      <c r="E2" s="2" t="s">
        <v>15</v>
      </c>
      <c r="F2" s="2" t="s">
        <v>16</v>
      </c>
      <c r="G2" s="2" t="s">
        <v>17</v>
      </c>
      <c r="H2" s="3" t="s">
        <v>18</v>
      </c>
      <c r="I2" s="3" t="s">
        <v>19</v>
      </c>
      <c r="J2" s="2" t="s">
        <v>20</v>
      </c>
      <c r="K2" s="2" t="s">
        <v>21</v>
      </c>
    </row>
    <row r="3" customFormat="false" ht="90" hidden="false" customHeight="true" outlineLevel="0" collapsed="false">
      <c r="A3" s="2" t="s">
        <v>22</v>
      </c>
      <c r="B3" s="2" t="s">
        <v>23</v>
      </c>
      <c r="C3" s="2" t="s">
        <v>24</v>
      </c>
      <c r="D3" s="2" t="s">
        <v>25</v>
      </c>
      <c r="E3" s="2" t="s">
        <v>26</v>
      </c>
      <c r="F3" s="2" t="s">
        <v>27</v>
      </c>
      <c r="G3" s="2" t="s">
        <v>28</v>
      </c>
      <c r="H3" s="3" t="s">
        <v>18</v>
      </c>
      <c r="I3" s="3" t="s">
        <v>19</v>
      </c>
      <c r="J3" s="2" t="s">
        <v>20</v>
      </c>
      <c r="K3" s="2" t="s">
        <v>21</v>
      </c>
    </row>
    <row r="4" customFormat="false" ht="90" hidden="false" customHeight="true" outlineLevel="0" collapsed="false">
      <c r="A4" s="2" t="s">
        <v>29</v>
      </c>
      <c r="B4" s="2" t="s">
        <v>30</v>
      </c>
      <c r="C4" s="2" t="s">
        <v>24</v>
      </c>
      <c r="D4" s="2" t="s">
        <v>31</v>
      </c>
      <c r="E4" s="2" t="s">
        <v>32</v>
      </c>
      <c r="F4" s="2" t="s">
        <v>33</v>
      </c>
      <c r="G4" s="2" t="s">
        <v>34</v>
      </c>
      <c r="H4" s="3" t="s">
        <v>18</v>
      </c>
      <c r="I4" s="3" t="s">
        <v>19</v>
      </c>
      <c r="J4" s="2" t="s">
        <v>20</v>
      </c>
      <c r="K4" s="2" t="s">
        <v>35</v>
      </c>
    </row>
    <row r="5" customFormat="false" ht="90" hidden="false" customHeight="true" outlineLevel="0" collapsed="false">
      <c r="A5" s="2" t="s">
        <v>36</v>
      </c>
      <c r="B5" s="2" t="s">
        <v>37</v>
      </c>
      <c r="C5" s="2" t="s">
        <v>38</v>
      </c>
      <c r="D5" s="2" t="s">
        <v>39</v>
      </c>
      <c r="E5" s="2" t="s">
        <v>40</v>
      </c>
      <c r="F5" s="2" t="s">
        <v>41</v>
      </c>
      <c r="G5" s="2" t="s">
        <v>42</v>
      </c>
      <c r="H5" s="4" t="s">
        <v>43</v>
      </c>
      <c r="I5" s="4" t="s">
        <v>44</v>
      </c>
      <c r="J5" s="2" t="s">
        <v>20</v>
      </c>
      <c r="K5" s="2" t="s">
        <v>35</v>
      </c>
    </row>
    <row r="6" customFormat="false" ht="90" hidden="false" customHeight="true" outlineLevel="0" collapsed="false">
      <c r="A6" s="2" t="s">
        <v>45</v>
      </c>
      <c r="B6" s="2" t="s">
        <v>46</v>
      </c>
      <c r="C6" s="2" t="s">
        <v>47</v>
      </c>
      <c r="D6" s="2" t="s">
        <v>48</v>
      </c>
      <c r="E6" s="2" t="s">
        <v>49</v>
      </c>
      <c r="F6" s="2" t="s">
        <v>50</v>
      </c>
      <c r="G6" s="2" t="s">
        <v>51</v>
      </c>
      <c r="H6" s="4" t="s">
        <v>43</v>
      </c>
      <c r="I6" s="4" t="s">
        <v>44</v>
      </c>
      <c r="J6" s="2" t="s">
        <v>20</v>
      </c>
      <c r="K6" s="2" t="s">
        <v>21</v>
      </c>
    </row>
    <row r="7" customFormat="false" ht="90" hidden="false" customHeight="true" outlineLevel="0" collapsed="false">
      <c r="A7" s="2" t="s">
        <v>52</v>
      </c>
      <c r="B7" s="2" t="s">
        <v>53</v>
      </c>
      <c r="C7" s="2" t="s">
        <v>54</v>
      </c>
      <c r="D7" s="2" t="s">
        <v>55</v>
      </c>
      <c r="E7" s="2" t="s">
        <v>56</v>
      </c>
      <c r="F7" s="2" t="s">
        <v>57</v>
      </c>
      <c r="G7" s="2" t="s">
        <v>58</v>
      </c>
      <c r="H7" s="4" t="s">
        <v>43</v>
      </c>
      <c r="I7" s="4" t="s">
        <v>44</v>
      </c>
      <c r="J7" s="2" t="s">
        <v>20</v>
      </c>
      <c r="K7" s="2" t="s">
        <v>21</v>
      </c>
    </row>
    <row r="8" customFormat="false" ht="90" hidden="false" customHeight="true" outlineLevel="0" collapsed="false">
      <c r="A8" s="2" t="s">
        <v>59</v>
      </c>
      <c r="B8" s="2" t="s">
        <v>60</v>
      </c>
      <c r="C8" s="2" t="s">
        <v>38</v>
      </c>
      <c r="D8" s="2" t="s">
        <v>61</v>
      </c>
      <c r="E8" s="2" t="s">
        <v>62</v>
      </c>
      <c r="F8" s="2" t="s">
        <v>63</v>
      </c>
      <c r="G8" s="2" t="s">
        <v>64</v>
      </c>
      <c r="H8" s="5" t="s">
        <v>65</v>
      </c>
      <c r="I8" s="5" t="s">
        <v>66</v>
      </c>
      <c r="J8" s="2" t="s">
        <v>20</v>
      </c>
      <c r="K8" s="2" t="s">
        <v>21</v>
      </c>
    </row>
    <row r="9" customFormat="false" ht="90" hidden="false" customHeight="true" outlineLevel="0" collapsed="false">
      <c r="A9" s="2" t="s">
        <v>67</v>
      </c>
      <c r="B9" s="2" t="s">
        <v>68</v>
      </c>
      <c r="C9" s="2" t="s">
        <v>69</v>
      </c>
      <c r="D9" s="2" t="s">
        <v>70</v>
      </c>
      <c r="E9" s="2" t="s">
        <v>71</v>
      </c>
      <c r="F9" s="2" t="s">
        <v>72</v>
      </c>
      <c r="G9" s="2" t="s">
        <v>73</v>
      </c>
      <c r="H9" s="6" t="s">
        <v>74</v>
      </c>
      <c r="I9" s="6" t="s">
        <v>75</v>
      </c>
      <c r="J9" s="2" t="s">
        <v>20</v>
      </c>
      <c r="K9" s="2" t="s">
        <v>76</v>
      </c>
    </row>
    <row r="10" customFormat="false" ht="90" hidden="false" customHeight="true" outlineLevel="0" collapsed="false">
      <c r="A10" s="2" t="s">
        <v>77</v>
      </c>
      <c r="B10" s="2" t="s">
        <v>78</v>
      </c>
      <c r="C10" s="2" t="s">
        <v>79</v>
      </c>
      <c r="D10" s="2" t="s">
        <v>80</v>
      </c>
      <c r="E10" s="2" t="s">
        <v>81</v>
      </c>
      <c r="F10" s="2" t="s">
        <v>82</v>
      </c>
      <c r="G10" s="2" t="s">
        <v>83</v>
      </c>
      <c r="H10" s="5" t="s">
        <v>65</v>
      </c>
      <c r="I10" s="5" t="s">
        <v>66</v>
      </c>
      <c r="J10" s="2" t="s">
        <v>20</v>
      </c>
      <c r="K10" s="2" t="s">
        <v>21</v>
      </c>
    </row>
    <row r="11" customFormat="false" ht="90" hidden="false" customHeight="true" outlineLevel="0" collapsed="false">
      <c r="A11" s="2" t="s">
        <v>84</v>
      </c>
      <c r="B11" s="2" t="s">
        <v>85</v>
      </c>
      <c r="C11" s="2" t="s">
        <v>86</v>
      </c>
      <c r="D11" s="2" t="s">
        <v>87</v>
      </c>
      <c r="E11" s="2" t="s">
        <v>88</v>
      </c>
      <c r="F11" s="2" t="s">
        <v>89</v>
      </c>
      <c r="G11" s="2" t="s">
        <v>90</v>
      </c>
      <c r="H11" s="5" t="s">
        <v>65</v>
      </c>
      <c r="I11" s="5" t="s">
        <v>66</v>
      </c>
      <c r="J11" s="2" t="s">
        <v>91</v>
      </c>
      <c r="K11" s="2" t="s">
        <v>21</v>
      </c>
    </row>
    <row r="12" customFormat="false" ht="90" hidden="false" customHeight="true" outlineLevel="0" collapsed="false">
      <c r="A12" s="2" t="s">
        <v>92</v>
      </c>
      <c r="B12" s="2" t="s">
        <v>93</v>
      </c>
      <c r="C12" s="2" t="s">
        <v>94</v>
      </c>
      <c r="D12" s="2" t="s">
        <v>95</v>
      </c>
      <c r="E12" s="2" t="s">
        <v>96</v>
      </c>
      <c r="F12" s="2" t="s">
        <v>97</v>
      </c>
      <c r="G12" s="2" t="s">
        <v>98</v>
      </c>
      <c r="H12" s="6" t="s">
        <v>74</v>
      </c>
      <c r="I12" s="6" t="s">
        <v>75</v>
      </c>
      <c r="J12" s="2" t="s">
        <v>99</v>
      </c>
      <c r="K12" s="2" t="s">
        <v>35</v>
      </c>
    </row>
    <row r="13" customFormat="false" ht="90" hidden="false" customHeight="true" outlineLevel="0" collapsed="false">
      <c r="A13" s="2" t="s">
        <v>100</v>
      </c>
      <c r="B13" s="2" t="s">
        <v>101</v>
      </c>
      <c r="C13" s="2" t="s">
        <v>102</v>
      </c>
      <c r="D13" s="2" t="s">
        <v>103</v>
      </c>
      <c r="E13" s="2" t="s">
        <v>104</v>
      </c>
      <c r="F13" s="2" t="s">
        <v>105</v>
      </c>
      <c r="G13" s="2" t="s">
        <v>106</v>
      </c>
      <c r="H13" s="6" t="s">
        <v>74</v>
      </c>
      <c r="I13" s="6" t="s">
        <v>75</v>
      </c>
      <c r="J13" s="2" t="s">
        <v>20</v>
      </c>
      <c r="K13" s="2" t="s">
        <v>21</v>
      </c>
    </row>
    <row r="14" customFormat="false" ht="90" hidden="false" customHeight="true" outlineLevel="0" collapsed="false">
      <c r="A14" s="2" t="s">
        <v>107</v>
      </c>
      <c r="B14" s="2" t="s">
        <v>108</v>
      </c>
      <c r="C14" s="2" t="s">
        <v>102</v>
      </c>
      <c r="D14" s="2" t="s">
        <v>109</v>
      </c>
      <c r="E14" s="2" t="s">
        <v>110</v>
      </c>
      <c r="F14" s="2" t="s">
        <v>111</v>
      </c>
      <c r="G14" s="2" t="s">
        <v>112</v>
      </c>
      <c r="H14" s="5" t="s">
        <v>65</v>
      </c>
      <c r="I14" s="5" t="s">
        <v>66</v>
      </c>
      <c r="J14" s="2" t="s">
        <v>113</v>
      </c>
      <c r="K14" s="2"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60"/>
  </cols>
  <sheetData>
    <row r="1" customFormat="false" ht="17.35" hidden="false" customHeight="false" outlineLevel="0" collapsed="false">
      <c r="A1" s="7" t="s">
        <v>114</v>
      </c>
      <c r="B1" s="7"/>
      <c r="C1" s="7"/>
    </row>
    <row r="3" customFormat="false" ht="15" hidden="false" customHeight="false" outlineLevel="0" collapsed="false">
      <c r="A3" s="8" t="s">
        <v>115</v>
      </c>
      <c r="B3" s="8" t="n">
        <f aca="false">COUNTA('Bug List'!A2:A100)</f>
        <v>13</v>
      </c>
    </row>
    <row r="4" customFormat="false" ht="15" hidden="false" customHeight="false" outlineLevel="0" collapsed="false">
      <c r="A4" s="9" t="s">
        <v>116</v>
      </c>
      <c r="B4" s="8" t="n">
        <f aca="false">COUNTIF('Bug List'!I2:I100,"P1")</f>
        <v>3</v>
      </c>
    </row>
    <row r="5" customFormat="false" ht="15" hidden="false" customHeight="false" outlineLevel="0" collapsed="false">
      <c r="A5" s="9" t="s">
        <v>117</v>
      </c>
      <c r="B5" s="8" t="n">
        <f aca="false">COUNTIF('Bug List'!I2:I100,"P2")</f>
        <v>3</v>
      </c>
    </row>
    <row r="6" customFormat="false" ht="15" hidden="false" customHeight="false" outlineLevel="0" collapsed="false">
      <c r="A6" s="9" t="s">
        <v>118</v>
      </c>
      <c r="B6" s="8" t="n">
        <f aca="false">COUNTIF('Bug List'!I2:I100,"P3")</f>
        <v>4</v>
      </c>
    </row>
    <row r="7" customFormat="false" ht="15" hidden="false" customHeight="false" outlineLevel="0" collapsed="false">
      <c r="A7" s="9" t="s">
        <v>119</v>
      </c>
      <c r="B7" s="8" t="n">
        <f aca="false">COUNTIF('Bug List'!I2:I100,"P4")</f>
        <v>3</v>
      </c>
    </row>
    <row r="9" customFormat="false" ht="15" hidden="false" customHeight="false" outlineLevel="0" collapsed="false">
      <c r="A9" s="10" t="s">
        <v>120</v>
      </c>
    </row>
    <row r="10" customFormat="false" ht="15" hidden="false" customHeight="false" outlineLevel="0" collapsed="false">
      <c r="A10" s="11" t="s">
        <v>121</v>
      </c>
      <c r="B10" s="12" t="s">
        <v>122</v>
      </c>
    </row>
    <row r="11" customFormat="false" ht="15" hidden="false" customHeight="false" outlineLevel="0" collapsed="false">
      <c r="A11" s="13" t="s">
        <v>123</v>
      </c>
      <c r="B11" s="12" t="s">
        <v>124</v>
      </c>
    </row>
    <row r="12" customFormat="false" ht="15" hidden="false" customHeight="false" outlineLevel="0" collapsed="false">
      <c r="A12" s="14" t="s">
        <v>125</v>
      </c>
      <c r="B12" s="12" t="s">
        <v>126</v>
      </c>
    </row>
    <row r="13" customFormat="false" ht="15" hidden="false" customHeight="false" outlineLevel="0" collapsed="false">
      <c r="A13" s="15" t="s">
        <v>127</v>
      </c>
      <c r="B13" s="12" t="s">
        <v>128</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2026-07-16T03:30:37Z</dcterms:created>
  <dc:creator>openpyxl</dc:creator>
  <dc:description/>
  <dc:language>en-US</dc:language>
  <cp:lastModifiedBy/>
  <dcterms:modified xsi:type="dcterms:W3CDTF">2026-07-16T03:30:37Z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